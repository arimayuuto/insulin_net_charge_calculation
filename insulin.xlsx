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WS Playground\"/>
    </mc:Choice>
  </mc:AlternateContent>
  <xr:revisionPtr revIDLastSave="0" documentId="13_ncr:1_{68C5DBB0-FAB9-4E6F-A236-181E4FC31507}" xr6:coauthVersionLast="47" xr6:coauthVersionMax="47" xr10:uidLastSave="{00000000-0000-0000-0000-000000000000}"/>
  <bookViews>
    <workbookView xWindow="624" yWindow="708" windowWidth="13080" windowHeight="10812" xr2:uid="{14D2CAAE-11D1-459F-800E-767D4BC2F8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8" i="1"/>
  <c r="H8" i="1" s="1"/>
  <c r="B7" i="1"/>
  <c r="H7" i="1" s="1"/>
  <c r="B6" i="1"/>
  <c r="C27" i="1" s="1"/>
  <c r="B5" i="1"/>
  <c r="B23" i="1" s="1"/>
  <c r="H6" i="1" l="1"/>
  <c r="H5" i="1"/>
  <c r="B9" i="1"/>
  <c r="H9" i="1" s="1"/>
  <c r="D26" i="1"/>
  <c r="D28" i="1"/>
  <c r="D29" i="1"/>
  <c r="D25" i="1"/>
  <c r="D23" i="1"/>
  <c r="D27" i="1"/>
  <c r="D24" i="1"/>
  <c r="E24" i="1"/>
  <c r="E29" i="1"/>
  <c r="E26" i="1"/>
  <c r="E23" i="1"/>
  <c r="E27" i="1"/>
  <c r="E25" i="1"/>
  <c r="E28" i="1"/>
  <c r="C29" i="1"/>
  <c r="C25" i="1"/>
  <c r="F23" i="1"/>
  <c r="B33" i="1" s="1"/>
  <c r="C23" i="1"/>
  <c r="C24" i="1"/>
  <c r="C28" i="1"/>
  <c r="C26" i="1"/>
  <c r="B24" i="1"/>
  <c r="B27" i="1"/>
  <c r="B29" i="1"/>
  <c r="B25" i="1"/>
  <c r="B26" i="1"/>
  <c r="B28" i="1"/>
  <c r="F25" i="1"/>
  <c r="M35" i="1" s="1"/>
  <c r="L33" i="1"/>
  <c r="F33" i="1"/>
  <c r="H33" i="1"/>
  <c r="P33" i="1"/>
  <c r="F24" i="1"/>
  <c r="F27" i="1"/>
  <c r="F29" i="1"/>
  <c r="F26" i="1"/>
  <c r="F28" i="1"/>
  <c r="E33" i="1" l="1"/>
  <c r="O33" i="1"/>
  <c r="G33" i="1"/>
  <c r="N33" i="1"/>
  <c r="M33" i="1"/>
  <c r="I33" i="1"/>
  <c r="D33" i="1"/>
  <c r="K33" i="1"/>
  <c r="C33" i="1"/>
  <c r="J33" i="1"/>
  <c r="N35" i="1"/>
  <c r="F35" i="1"/>
  <c r="G35" i="1"/>
  <c r="E35" i="1"/>
  <c r="C35" i="1"/>
  <c r="P35" i="1"/>
  <c r="H35" i="1"/>
  <c r="B35" i="1"/>
  <c r="I35" i="1"/>
  <c r="J35" i="1"/>
  <c r="O35" i="1"/>
  <c r="O38" i="1"/>
  <c r="G38" i="1"/>
  <c r="N38" i="1"/>
  <c r="F38" i="1"/>
  <c r="M38" i="1"/>
  <c r="E38" i="1"/>
  <c r="L38" i="1"/>
  <c r="D38" i="1"/>
  <c r="K38" i="1"/>
  <c r="C38" i="1"/>
  <c r="I38" i="1"/>
  <c r="J38" i="1"/>
  <c r="B38" i="1"/>
  <c r="P38" i="1"/>
  <c r="H38" i="1"/>
  <c r="M36" i="1"/>
  <c r="E36" i="1"/>
  <c r="L36" i="1"/>
  <c r="D36" i="1"/>
  <c r="K36" i="1"/>
  <c r="C36" i="1"/>
  <c r="G36" i="1"/>
  <c r="J36" i="1"/>
  <c r="B36" i="1"/>
  <c r="I36" i="1"/>
  <c r="O36" i="1"/>
  <c r="P36" i="1"/>
  <c r="H36" i="1"/>
  <c r="N36" i="1"/>
  <c r="F36" i="1"/>
  <c r="P39" i="1"/>
  <c r="H39" i="1"/>
  <c r="O39" i="1"/>
  <c r="G39" i="1"/>
  <c r="N39" i="1"/>
  <c r="F39" i="1"/>
  <c r="M39" i="1"/>
  <c r="E39" i="1"/>
  <c r="L39" i="1"/>
  <c r="D39" i="1"/>
  <c r="J39" i="1"/>
  <c r="B39" i="1"/>
  <c r="K39" i="1"/>
  <c r="C39" i="1"/>
  <c r="I39" i="1"/>
  <c r="N37" i="1"/>
  <c r="F37" i="1"/>
  <c r="M37" i="1"/>
  <c r="E37" i="1"/>
  <c r="L37" i="1"/>
  <c r="D37" i="1"/>
  <c r="K37" i="1"/>
  <c r="C37" i="1"/>
  <c r="J37" i="1"/>
  <c r="B37" i="1"/>
  <c r="P37" i="1"/>
  <c r="H37" i="1"/>
  <c r="I37" i="1"/>
  <c r="O37" i="1"/>
  <c r="G37" i="1"/>
  <c r="N34" i="1"/>
  <c r="F34" i="1"/>
  <c r="H34" i="1"/>
  <c r="M34" i="1"/>
  <c r="E34" i="1"/>
  <c r="L34" i="1"/>
  <c r="D34" i="1"/>
  <c r="K34" i="1"/>
  <c r="C34" i="1"/>
  <c r="J34" i="1"/>
  <c r="B34" i="1"/>
  <c r="P34" i="1"/>
  <c r="I34" i="1"/>
  <c r="O34" i="1"/>
  <c r="G34" i="1"/>
  <c r="K35" i="1"/>
  <c r="L35" i="1"/>
  <c r="D35" i="1"/>
  <c r="K40" i="1" l="1"/>
  <c r="C40" i="1"/>
  <c r="F40" i="1"/>
  <c r="N40" i="1"/>
  <c r="P40" i="1"/>
  <c r="M40" i="1"/>
  <c r="B40" i="1"/>
  <c r="H40" i="1"/>
  <c r="G40" i="1"/>
  <c r="D40" i="1"/>
  <c r="O40" i="1"/>
  <c r="J40" i="1"/>
  <c r="L40" i="1"/>
  <c r="E40" i="1"/>
  <c r="I40" i="1"/>
</calcChain>
</file>

<file path=xl/sharedStrings.xml><?xml version="1.0" encoding="utf-8"?>
<sst xmlns="http://schemas.openxmlformats.org/spreadsheetml/2006/main" count="51" uniqueCount="29">
  <si>
    <t>lsInsulin</t>
  </si>
  <si>
    <t>bInsulin</t>
  </si>
  <si>
    <t>aInsulin</t>
  </si>
  <si>
    <t>cInsulin</t>
  </si>
  <si>
    <t>insulin</t>
  </si>
  <si>
    <t>y</t>
  </si>
  <si>
    <t>c</t>
  </si>
  <si>
    <t>k</t>
  </si>
  <si>
    <t>h</t>
  </si>
  <si>
    <t>r</t>
  </si>
  <si>
    <t>d</t>
  </si>
  <si>
    <t>e</t>
  </si>
  <si>
    <t>elemen</t>
  </si>
  <si>
    <t>pKR</t>
  </si>
  <si>
    <t>netCharge</t>
  </si>
  <si>
    <t>N/B :</t>
  </si>
  <si>
    <t>net Charge = kelompok kuning (k, h, r) - kelompok hijau (y, c, d, e)</t>
  </si>
  <si>
    <t>barisan elemen</t>
  </si>
  <si>
    <t>variabel</t>
  </si>
  <si>
    <t>Nilai netCharge pada masing2 pH</t>
  </si>
  <si>
    <t>jumlah elemen pada masing-masing variabel Insulin (seqCount)</t>
  </si>
  <si>
    <t>malwmrllpllallalwgpdpaaafvnqhlcgshlvealylvcgergffytpktrreaedlqvgqvelgggpgagslqplalegslqkrgiveqcctsicslyqlenycn</t>
  </si>
  <si>
    <t>Deretan Insulin :</t>
  </si>
  <si>
    <t>Total karakter :</t>
  </si>
  <si>
    <t>1-24</t>
  </si>
  <si>
    <t>25-54</t>
  </si>
  <si>
    <t>55-89</t>
  </si>
  <si>
    <t>90-110</t>
  </si>
  <si>
    <t>insulin = bInsulin + aInsulin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</si>
</sst>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17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Charge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8"/>
          <c:order val="0"/>
          <c:tx>
            <c:strRef>
              <c:f>Sheet1!$A$40</c:f>
              <c:strCache>
                <c:ptCount val="1"/>
                <c:pt idx="0">
                  <c:v>netCharge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Sheet1!$B$40:$P$40</c:f>
              <c:numCache>
                <c:formatCode>0.0000</c:formatCode>
                <c:ptCount val="15"/>
                <c:pt idx="0">
                  <c:v>3.9997730361084178</c:v>
                </c:pt>
                <c:pt idx="1">
                  <c:v>3.9977314989803618</c:v>
                </c:pt>
                <c:pt idx="2">
                  <c:v>3.9774281495747488</c:v>
                </c:pt>
                <c:pt idx="3">
                  <c:v>3.7850011255505267</c:v>
                </c:pt>
                <c:pt idx="4">
                  <c:v>2.5400579261525342</c:v>
                </c:pt>
                <c:pt idx="5">
                  <c:v>0.41810147415939891</c:v>
                </c:pt>
                <c:pt idx="6">
                  <c:v>-0.96986331905560474</c:v>
                </c:pt>
                <c:pt idx="7">
                  <c:v>-2.1866296247762329</c:v>
                </c:pt>
                <c:pt idx="8">
                  <c:v>-4.4032721054020163</c:v>
                </c:pt>
                <c:pt idx="9">
                  <c:v>-7.551924685030059</c:v>
                </c:pt>
                <c:pt idx="10">
                  <c:v>-9.9806720544143097</c:v>
                </c:pt>
                <c:pt idx="11">
                  <c:v>-12.349327503864023</c:v>
                </c:pt>
                <c:pt idx="12">
                  <c:v>-13.16862508416593</c:v>
                </c:pt>
                <c:pt idx="13">
                  <c:v>-13.75988990979344</c:v>
                </c:pt>
                <c:pt idx="14">
                  <c:v>-13.969868023471733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45-49F8-BA6D-654620B71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0433680"/>
        <c:axId val="2110434160"/>
      </c:lineChart>
      <c:catAx>
        <c:axId val="2110433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434160"/>
        <c:crosses val="autoZero"/>
        <c:auto val="1"/>
        <c:lblAlgn val="ctr"/>
        <c:lblOffset val="100"/>
        <c:noMultiLvlLbl val="0"/>
      </c:catAx>
      <c:valAx>
        <c:axId val="211043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43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152400</xdr:rowOff>
    </xdr:from>
    <xdr:to>
      <xdr:col>8</xdr:col>
      <xdr:colOff>281940</xdr:colOff>
      <xdr:row>60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E64784-A184-2B33-0E4B-B278FB0FC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F91B-F2BC-43CA-9ACC-99DABE8F9AF8}">
  <dimension ref="A1:P56"/>
  <sheetViews>
    <sheetView tabSelected="1" workbookViewId="0">
      <selection activeCell="G11" sqref="G11"/>
    </sheetView>
  </sheetViews>
  <sheetFormatPr defaultRowHeight="14.4" x14ac:dyDescent="0.3"/>
  <cols>
    <col min="1" max="1" width="8.88671875" style="1"/>
    <col min="2" max="2" width="8.88671875" style="1" customWidth="1"/>
    <col min="3" max="16384" width="8.88671875" style="1"/>
  </cols>
  <sheetData>
    <row r="1" spans="1:15" x14ac:dyDescent="0.3">
      <c r="A1" s="1" t="s">
        <v>22</v>
      </c>
      <c r="C1" s="1" t="s">
        <v>21</v>
      </c>
    </row>
    <row r="2" spans="1:15" x14ac:dyDescent="0.3">
      <c r="A2" s="1" t="s">
        <v>23</v>
      </c>
      <c r="C2" s="1">
        <f>LEN(C1)</f>
        <v>110</v>
      </c>
    </row>
    <row r="4" spans="1:15" x14ac:dyDescent="0.3">
      <c r="A4" s="18" t="s">
        <v>18</v>
      </c>
      <c r="B4" s="20" t="s">
        <v>17</v>
      </c>
      <c r="C4" s="21"/>
      <c r="D4" s="21"/>
      <c r="E4" s="21"/>
      <c r="F4" s="22"/>
    </row>
    <row r="5" spans="1:15" x14ac:dyDescent="0.3">
      <c r="A5" s="7" t="s">
        <v>0</v>
      </c>
      <c r="B5" s="19" t="str">
        <f>LEFT(C1, 24)</f>
        <v>malwmrllpllallalwgpdpaaa</v>
      </c>
      <c r="C5" s="19"/>
      <c r="D5" s="19"/>
      <c r="E5" s="19"/>
      <c r="F5" s="19"/>
      <c r="G5" s="26" t="s">
        <v>24</v>
      </c>
      <c r="H5" s="1" t="str">
        <f>LEN(B5)&amp;" "&amp;"karakter"</f>
        <v>24 karakter</v>
      </c>
    </row>
    <row r="6" spans="1:15" x14ac:dyDescent="0.3">
      <c r="A6" s="7" t="s">
        <v>1</v>
      </c>
      <c r="B6" s="19" t="str">
        <f>MID(C1, 25, 30)</f>
        <v>fvnqhlcgshlvealylvcgergffytpkt</v>
      </c>
      <c r="C6" s="19"/>
      <c r="D6" s="19"/>
      <c r="E6" s="19"/>
      <c r="F6" s="19"/>
      <c r="G6" s="27" t="s">
        <v>25</v>
      </c>
      <c r="H6" s="1" t="str">
        <f t="shared" ref="H6:H9" si="0">LEN(B6)&amp;" "&amp;"karakter"</f>
        <v>30 karakter</v>
      </c>
    </row>
    <row r="7" spans="1:15" x14ac:dyDescent="0.3">
      <c r="A7" s="7" t="s">
        <v>3</v>
      </c>
      <c r="B7" s="19" t="str">
        <f>MID(C1, 55, 35)</f>
        <v>rreaedlqvgqvelgggpgagslqplalegslqkr</v>
      </c>
      <c r="C7" s="19"/>
      <c r="D7" s="19"/>
      <c r="E7" s="19"/>
      <c r="F7" s="19"/>
      <c r="G7" s="27" t="s">
        <v>26</v>
      </c>
      <c r="H7" s="1" t="str">
        <f t="shared" si="0"/>
        <v>35 karakter</v>
      </c>
      <c r="J7" s="2"/>
      <c r="K7" s="2"/>
    </row>
    <row r="8" spans="1:15" x14ac:dyDescent="0.3">
      <c r="A8" s="7" t="s">
        <v>2</v>
      </c>
      <c r="B8" s="19" t="str">
        <f>MID(C1, 90, 21)</f>
        <v>giveqcctsicslyqlenycn</v>
      </c>
      <c r="C8" s="19"/>
      <c r="D8" s="19"/>
      <c r="E8" s="19"/>
      <c r="F8" s="19"/>
      <c r="G8" s="27" t="s">
        <v>27</v>
      </c>
      <c r="H8" s="1" t="str">
        <f t="shared" si="0"/>
        <v>21 karakter</v>
      </c>
    </row>
    <row r="9" spans="1:15" x14ac:dyDescent="0.3">
      <c r="A9" s="7" t="s">
        <v>4</v>
      </c>
      <c r="B9" s="23" t="str">
        <f>B6&amp;B8</f>
        <v>fvnqhlcgshlvealylvcgergffytpktgiveqcctsicslyqlenycn</v>
      </c>
      <c r="C9" s="24"/>
      <c r="D9" s="24"/>
      <c r="E9" s="24"/>
      <c r="F9" s="25"/>
      <c r="G9" s="2"/>
      <c r="H9" s="1" t="str">
        <f t="shared" si="0"/>
        <v>51 karakter</v>
      </c>
      <c r="J9" s="2"/>
      <c r="K9" s="3"/>
      <c r="M9" s="3"/>
      <c r="N9" s="3"/>
      <c r="O9" s="3"/>
    </row>
    <row r="10" spans="1:15" x14ac:dyDescent="0.3">
      <c r="A10" s="29" t="s">
        <v>15</v>
      </c>
      <c r="B10" s="28" t="s">
        <v>28</v>
      </c>
      <c r="C10" s="28"/>
      <c r="D10" s="28"/>
      <c r="E10" s="28"/>
      <c r="F10" s="28"/>
      <c r="G10" s="2"/>
      <c r="J10" s="2"/>
      <c r="K10" s="3"/>
      <c r="M10" s="3"/>
      <c r="N10" s="3"/>
      <c r="O10" s="3"/>
    </row>
    <row r="11" spans="1:15" x14ac:dyDescent="0.3">
      <c r="J11" s="2"/>
      <c r="K11" s="3"/>
      <c r="L11" s="3"/>
      <c r="M11" s="3"/>
      <c r="N11" s="3"/>
      <c r="O11" s="3"/>
    </row>
    <row r="12" spans="1:15" x14ac:dyDescent="0.3">
      <c r="A12" s="18" t="s">
        <v>12</v>
      </c>
      <c r="B12" s="18" t="s">
        <v>13</v>
      </c>
      <c r="J12" s="2"/>
      <c r="K12" s="3"/>
      <c r="L12" s="3"/>
      <c r="M12" s="3"/>
      <c r="N12" s="3"/>
      <c r="O12" s="3"/>
    </row>
    <row r="13" spans="1:15" x14ac:dyDescent="0.3">
      <c r="A13" s="8" t="s">
        <v>5</v>
      </c>
      <c r="B13" s="8">
        <v>10.07</v>
      </c>
      <c r="J13" s="2"/>
      <c r="K13" s="3"/>
      <c r="L13" s="3"/>
      <c r="M13" s="3"/>
      <c r="N13" s="3"/>
      <c r="O13" s="3"/>
    </row>
    <row r="14" spans="1:15" x14ac:dyDescent="0.3">
      <c r="A14" s="8" t="s">
        <v>6</v>
      </c>
      <c r="B14" s="8">
        <v>8.18</v>
      </c>
      <c r="J14" s="2"/>
      <c r="K14" s="3"/>
      <c r="L14" s="3"/>
      <c r="M14" s="3"/>
      <c r="N14" s="3"/>
      <c r="O14" s="3"/>
    </row>
    <row r="15" spans="1:15" x14ac:dyDescent="0.3">
      <c r="A15" s="8" t="s">
        <v>7</v>
      </c>
      <c r="B15" s="8">
        <v>10.53</v>
      </c>
      <c r="J15" s="2"/>
      <c r="K15" s="3"/>
      <c r="L15" s="3"/>
      <c r="M15" s="3"/>
      <c r="N15" s="3"/>
      <c r="O15" s="3"/>
    </row>
    <row r="16" spans="1:15" x14ac:dyDescent="0.3">
      <c r="A16" s="8" t="s">
        <v>8</v>
      </c>
      <c r="B16" s="8">
        <v>6</v>
      </c>
      <c r="J16" s="2"/>
      <c r="K16" s="3"/>
      <c r="L16" s="3"/>
      <c r="M16" s="3"/>
      <c r="N16" s="3"/>
      <c r="O16" s="3"/>
    </row>
    <row r="17" spans="1:16" x14ac:dyDescent="0.3">
      <c r="A17" s="8" t="s">
        <v>9</v>
      </c>
      <c r="B17" s="8">
        <v>12.48</v>
      </c>
      <c r="J17" s="2"/>
      <c r="K17" s="3"/>
      <c r="L17" s="3"/>
      <c r="M17" s="3"/>
      <c r="N17" s="3"/>
      <c r="O17" s="3"/>
    </row>
    <row r="18" spans="1:16" x14ac:dyDescent="0.3">
      <c r="A18" s="8" t="s">
        <v>10</v>
      </c>
      <c r="B18" s="8">
        <v>3.65</v>
      </c>
    </row>
    <row r="19" spans="1:16" x14ac:dyDescent="0.3">
      <c r="A19" s="8" t="s">
        <v>11</v>
      </c>
      <c r="B19" s="8">
        <v>4.25</v>
      </c>
      <c r="C19" s="2"/>
      <c r="D19" s="2"/>
      <c r="E19" s="2"/>
      <c r="F19" s="2"/>
      <c r="G19" s="2"/>
      <c r="H19" s="2"/>
    </row>
    <row r="20" spans="1:16" x14ac:dyDescent="0.3">
      <c r="A20" s="2"/>
      <c r="B20" s="2"/>
      <c r="C20" s="2"/>
      <c r="D20" s="2"/>
      <c r="E20" s="2"/>
      <c r="F20" s="2"/>
      <c r="G20" s="2"/>
      <c r="H20" s="2"/>
    </row>
    <row r="21" spans="1:16" x14ac:dyDescent="0.3">
      <c r="A21" s="11" t="s">
        <v>20</v>
      </c>
      <c r="B21" s="2"/>
      <c r="C21" s="2"/>
      <c r="D21" s="2"/>
      <c r="E21" s="2"/>
      <c r="F21" s="2"/>
      <c r="G21" s="2"/>
      <c r="H21" s="2"/>
    </row>
    <row r="22" spans="1:16" x14ac:dyDescent="0.3">
      <c r="A22" s="18" t="s">
        <v>12</v>
      </c>
      <c r="B22" s="18" t="s">
        <v>0</v>
      </c>
      <c r="C22" s="18" t="s">
        <v>1</v>
      </c>
      <c r="D22" s="18" t="s">
        <v>2</v>
      </c>
      <c r="E22" s="18" t="s">
        <v>3</v>
      </c>
      <c r="F22" s="18" t="s">
        <v>4</v>
      </c>
      <c r="G22" s="2"/>
      <c r="H22" s="2"/>
    </row>
    <row r="23" spans="1:16" x14ac:dyDescent="0.3">
      <c r="A23" s="8" t="s">
        <v>5</v>
      </c>
      <c r="B23" s="9">
        <f t="shared" ref="B23:B29" si="1">LEN($B$5) - LEN(SUBSTITUTE($B$5, A23, ""))</f>
        <v>0</v>
      </c>
      <c r="C23" s="9">
        <f t="shared" ref="C23:C29" si="2">LEN($B$6) - LEN(SUBSTITUTE($B$6, A23, ""))</f>
        <v>2</v>
      </c>
      <c r="D23" s="9">
        <f t="shared" ref="D23:D29" si="3">LEN($B$8) - LEN(SUBSTITUTE($B$8, A23, ""))</f>
        <v>2</v>
      </c>
      <c r="E23" s="9">
        <f>LEN($B$7) - LEN(SUBSTITUTE($B$7, A23, ""))</f>
        <v>0</v>
      </c>
      <c r="F23" s="10">
        <f t="shared" ref="F23:F29" si="4">LEN($B$9) - LEN(SUBSTITUTE($B$9, A23, ""))</f>
        <v>4</v>
      </c>
      <c r="G23" s="3"/>
      <c r="H23" s="3"/>
    </row>
    <row r="24" spans="1:16" x14ac:dyDescent="0.3">
      <c r="A24" s="8" t="s">
        <v>6</v>
      </c>
      <c r="B24" s="9">
        <f t="shared" si="1"/>
        <v>0</v>
      </c>
      <c r="C24" s="9">
        <f t="shared" si="2"/>
        <v>2</v>
      </c>
      <c r="D24" s="9">
        <f t="shared" si="3"/>
        <v>4</v>
      </c>
      <c r="E24" s="9">
        <f>LEN($B$7) - LEN(SUBSTITUTE($B$7, A24, ""))</f>
        <v>0</v>
      </c>
      <c r="F24" s="10">
        <f t="shared" si="4"/>
        <v>6</v>
      </c>
      <c r="G24" s="3"/>
      <c r="H24" s="3"/>
    </row>
    <row r="25" spans="1:16" x14ac:dyDescent="0.3">
      <c r="A25" s="8" t="s">
        <v>7</v>
      </c>
      <c r="B25" s="9">
        <f t="shared" si="1"/>
        <v>0</v>
      </c>
      <c r="C25" s="9">
        <f t="shared" si="2"/>
        <v>1</v>
      </c>
      <c r="D25" s="9">
        <f t="shared" si="3"/>
        <v>0</v>
      </c>
      <c r="E25" s="9">
        <f>LEN($B$7) - LEN(SUBSTITUTE($B$7, A25, ""))</f>
        <v>1</v>
      </c>
      <c r="F25" s="10">
        <f t="shared" si="4"/>
        <v>1</v>
      </c>
      <c r="G25" s="3"/>
      <c r="H25" s="3"/>
    </row>
    <row r="26" spans="1:16" x14ac:dyDescent="0.3">
      <c r="A26" s="8" t="s">
        <v>8</v>
      </c>
      <c r="B26" s="9">
        <f t="shared" si="1"/>
        <v>0</v>
      </c>
      <c r="C26" s="9">
        <f t="shared" si="2"/>
        <v>2</v>
      </c>
      <c r="D26" s="9">
        <f t="shared" si="3"/>
        <v>0</v>
      </c>
      <c r="E26" s="9">
        <f>LEN($B$7) - LEN(SUBSTITUTE($B$7, A26, ""))</f>
        <v>0</v>
      </c>
      <c r="F26" s="10">
        <f t="shared" si="4"/>
        <v>2</v>
      </c>
      <c r="G26" s="3"/>
      <c r="H26" s="3"/>
    </row>
    <row r="27" spans="1:16" x14ac:dyDescent="0.3">
      <c r="A27" s="8" t="s">
        <v>9</v>
      </c>
      <c r="B27" s="9">
        <f t="shared" si="1"/>
        <v>1</v>
      </c>
      <c r="C27" s="9">
        <f t="shared" si="2"/>
        <v>1</v>
      </c>
      <c r="D27" s="9">
        <f t="shared" si="3"/>
        <v>0</v>
      </c>
      <c r="E27" s="9">
        <f>LEN($B$7) - LEN(SUBSTITUTE($B$7, A27, ""))</f>
        <v>3</v>
      </c>
      <c r="F27" s="10">
        <f t="shared" si="4"/>
        <v>1</v>
      </c>
      <c r="G27" s="3"/>
      <c r="H27" s="3"/>
    </row>
    <row r="28" spans="1:16" x14ac:dyDescent="0.3">
      <c r="A28" s="8" t="s">
        <v>10</v>
      </c>
      <c r="B28" s="9">
        <f t="shared" si="1"/>
        <v>1</v>
      </c>
      <c r="C28" s="9">
        <f t="shared" si="2"/>
        <v>0</v>
      </c>
      <c r="D28" s="9">
        <f t="shared" si="3"/>
        <v>0</v>
      </c>
      <c r="E28" s="9">
        <f>LEN($B$7) - LEN(SUBSTITUTE($B$7, A28, ""))</f>
        <v>1</v>
      </c>
      <c r="F28" s="10">
        <f t="shared" si="4"/>
        <v>0</v>
      </c>
      <c r="G28" s="3"/>
      <c r="H28" s="3"/>
    </row>
    <row r="29" spans="1:16" x14ac:dyDescent="0.3">
      <c r="A29" s="8" t="s">
        <v>11</v>
      </c>
      <c r="B29" s="9">
        <f t="shared" si="1"/>
        <v>0</v>
      </c>
      <c r="C29" s="9">
        <f t="shared" si="2"/>
        <v>2</v>
      </c>
      <c r="D29" s="9">
        <f t="shared" si="3"/>
        <v>2</v>
      </c>
      <c r="E29" s="9">
        <f>LEN($B$7) - LEN(SUBSTITUTE($B$7, A29, ""))</f>
        <v>4</v>
      </c>
      <c r="F29" s="10">
        <f t="shared" si="4"/>
        <v>4</v>
      </c>
      <c r="G29" s="3"/>
      <c r="H29" s="3"/>
    </row>
    <row r="30" spans="1:16" x14ac:dyDescent="0.3">
      <c r="A30" s="2"/>
      <c r="B30" s="3"/>
      <c r="C30" s="3"/>
      <c r="D30" s="3"/>
      <c r="E30" s="3"/>
      <c r="F30" s="3"/>
      <c r="G30" s="3"/>
      <c r="H30" s="3"/>
    </row>
    <row r="31" spans="1:16" x14ac:dyDescent="0.3">
      <c r="A31" s="11" t="s">
        <v>19</v>
      </c>
      <c r="B31" s="3"/>
      <c r="C31" s="3"/>
      <c r="D31" s="3"/>
      <c r="E31" s="3"/>
      <c r="F31" s="3"/>
      <c r="G31" s="3"/>
      <c r="H31" s="3"/>
    </row>
    <row r="32" spans="1:16" x14ac:dyDescent="0.3">
      <c r="A32" s="18" t="s">
        <v>12</v>
      </c>
      <c r="B32" s="18">
        <v>0</v>
      </c>
      <c r="C32" s="18">
        <v>1</v>
      </c>
      <c r="D32" s="18">
        <v>2</v>
      </c>
      <c r="E32" s="18">
        <v>3</v>
      </c>
      <c r="F32" s="18">
        <v>4</v>
      </c>
      <c r="G32" s="18">
        <v>5</v>
      </c>
      <c r="H32" s="18">
        <v>6</v>
      </c>
      <c r="I32" s="18">
        <v>7</v>
      </c>
      <c r="J32" s="18">
        <v>8</v>
      </c>
      <c r="K32" s="18">
        <v>9</v>
      </c>
      <c r="L32" s="18">
        <v>10</v>
      </c>
      <c r="M32" s="18">
        <v>11</v>
      </c>
      <c r="N32" s="18">
        <v>12</v>
      </c>
      <c r="O32" s="18">
        <v>13</v>
      </c>
      <c r="P32" s="18">
        <v>14</v>
      </c>
    </row>
    <row r="33" spans="1:16" x14ac:dyDescent="0.3">
      <c r="A33" s="12" t="s">
        <v>5</v>
      </c>
      <c r="B33" s="13">
        <f>VLOOKUP($A$33,$A$23:$F$29,6,FALSE)*(10^$B$32) / ((10^$B$32)+(10^(VLOOKUP($A$33,$A$13:$B$19,2,FALSE))))</f>
        <v>3.40455215251972E-10</v>
      </c>
      <c r="C33" s="13">
        <f>VLOOKUP($A$33,$A$23:$F$29,6,FALSE)*(10^$C$32) / ((10^$C$32)+(10^(VLOOKUP($A$33,$A$13:$B$19,2,FALSE))))</f>
        <v>3.4045521499117506E-9</v>
      </c>
      <c r="D33" s="13">
        <f>VLOOKUP($A$33,$A$23:$F$29,6,FALSE)*(10^$D$32) / ((10^$D$32)+(10^(VLOOKUP($A$33,$A$13:$B$19,2,FALSE))))</f>
        <v>3.4045521238320563E-8</v>
      </c>
      <c r="E33" s="13">
        <f>VLOOKUP($A$33,$A$23:$F$29,6,FALSE)*(10^$E$32) / ((10^$E$32)+(10^(VLOOKUP($A$33,$A$13:$B$19,2,FALSE))))</f>
        <v>3.4045518630351353E-7</v>
      </c>
      <c r="F33" s="13">
        <f>VLOOKUP($A$33,$A$23:$F$29,6,FALSE)*(10^$F$32) / ((10^$F$32)+(10^(VLOOKUP($A$33,$A$13:$B$19,2,FALSE))))</f>
        <v>3.4045492550681207E-6</v>
      </c>
      <c r="G33" s="13">
        <f>VLOOKUP($A$33,$A$23:$F$29,6,FALSE)*(10^$G$32) / ((10^$G$32)+(10^(VLOOKUP($A$33,$A$13:$B$19,2,FALSE))))</f>
        <v>3.4045231756177275E-5</v>
      </c>
      <c r="H33" s="13">
        <f>VLOOKUP($A$33,$A$23:$F$29,6,FALSE)*(10^$H$32) / ((10^$H$32)+(10^(VLOOKUP($A$33,$A$13:$B$19,2,FALSE))))</f>
        <v>3.4042624030871657E-4</v>
      </c>
      <c r="I33" s="13">
        <f>VLOOKUP($A$33,$A$23:$F$29,6,FALSE)*(10^$I$32) / ((10^$I$32)+(10^(VLOOKUP($A$33,$A$13:$B$19,2,FALSE))))</f>
        <v>3.4016568732517577E-3</v>
      </c>
      <c r="J33" s="13">
        <f>VLOOKUP($A$33,$A$23:$F$29,6,FALSE)*(10^$J$32) / ((10^$J$32)+(10^(VLOOKUP($A$33,$A$13:$B$19,2,FALSE))))</f>
        <v>3.3758192708939504E-2</v>
      </c>
      <c r="K33" s="13">
        <f>VLOOKUP($A$33,$A$23:$F$29,6,FALSE)*(10^$K$32) / ((10^$K$32)+(10^(VLOOKUP($A$33,$A$13:$B$19,2,FALSE))))</f>
        <v>0.31375069977208597</v>
      </c>
      <c r="L33" s="13">
        <f>VLOOKUP($A$33,$A$23:$F$29,6,FALSE)*(10^$L$32) / ((10^$L$32)+(10^(VLOOKUP($A$33,$A$13:$B$19,2,FALSE))))</f>
        <v>1.8391670867050143</v>
      </c>
      <c r="M33" s="13">
        <f>VLOOKUP($A$33,$A$23:$F$29,6,FALSE)*(10^$M$32) / ((10^$M$32)+(10^(VLOOKUP($A$33,$A$13:$B$19,2,FALSE))))</f>
        <v>3.5794511585763198</v>
      </c>
      <c r="N33" s="13">
        <f>VLOOKUP($A$33,$A$23:$F$29,6,FALSE)*(10^$N$32) / ((10^$N$32)+(10^(VLOOKUP($A$33,$A$13:$B$19,2,FALSE))))</f>
        <v>3.9535498396012092</v>
      </c>
      <c r="O33" s="13">
        <f>VLOOKUP($A$33,$A$23:$F$29,6,FALSE)*(10^$O$32) / ((10^$O$32)+(10^(VLOOKUP($A$33,$A$13:$B$19,2,FALSE))))</f>
        <v>3.9953059248376732</v>
      </c>
      <c r="P33" s="13">
        <f>VLOOKUP($A$33,$A$23:$F$29,6,FALSE)*(10^$P$32) / ((10^$P$32)+(10^(VLOOKUP($A$33,$A$13:$B$19,2,FALSE))))</f>
        <v>3.9995300961869087</v>
      </c>
    </row>
    <row r="34" spans="1:16" x14ac:dyDescent="0.3">
      <c r="A34" s="12" t="s">
        <v>6</v>
      </c>
      <c r="B34" s="13">
        <f>VLOOKUP($A$34,$A$23:$F$29,6,FALSE)*(10^$B$32) / ((10^$B$32)+(10^(VLOOKUP($A$34,$A$13:$B$19,2,FALSE))))</f>
        <v>3.9641606618546265E-8</v>
      </c>
      <c r="C34" s="13">
        <f>VLOOKUP($A$34,$A$23:$F$29,6,FALSE)*(10^$C$32) / ((10^$C$32)+(10^(VLOOKUP($A$34,$A$13:$B$19,2,FALSE))))</f>
        <v>3.9641604261360945E-7</v>
      </c>
      <c r="D34" s="13">
        <f>VLOOKUP($A$34,$A$23:$F$29,6,FALSE)*(10^$D$32) / ((10^$D$32)+(10^(VLOOKUP($A$34,$A$13:$B$19,2,FALSE))))</f>
        <v>3.9641580689523132E-6</v>
      </c>
      <c r="E34" s="13">
        <f>VLOOKUP($A$34,$A$23:$F$29,6,FALSE)*(10^$E$32) / ((10^$E$32)+(10^(VLOOKUP($A$34,$A$13:$B$19,2,FALSE))))</f>
        <v>3.9641344972686825E-5</v>
      </c>
      <c r="F34" s="13">
        <f>VLOOKUP($A$34,$A$23:$F$29,6,FALSE)*(10^$F$32) / ((10^$F$32)+(10^(VLOOKUP($A$34,$A$13:$B$19,2,FALSE))))</f>
        <v>3.9638987958492782E-4</v>
      </c>
      <c r="G34" s="13">
        <f>VLOOKUP($A$34,$A$23:$F$29,6,FALSE)*(10^$G$32) / ((10^$G$32)+(10^(VLOOKUP($A$34,$A$13:$B$19,2,FALSE))))</f>
        <v>3.961543322328516E-3</v>
      </c>
      <c r="H34" s="13">
        <f>VLOOKUP($A$34,$A$23:$F$29,6,FALSE)*(10^$H$32) / ((10^$H$32)+(10^(VLOOKUP($A$34,$A$13:$B$19,2,FALSE))))</f>
        <v>3.9381416442288972E-2</v>
      </c>
      <c r="I34" s="13">
        <f>VLOOKUP($A$34,$A$23:$F$29,6,FALSE)*(10^$I$32) / ((10^$I$32)+(10^(VLOOKUP($A$34,$A$13:$B$19,2,FALSE))))</f>
        <v>0.37184829555214799</v>
      </c>
      <c r="J34" s="13">
        <f>VLOOKUP($A$34,$A$23:$F$29,6,FALSE)*(10^$J$32) / ((10^$J$32)+(10^(VLOOKUP($A$34,$A$13:$B$19,2,FALSE))))</f>
        <v>2.3870514409516983</v>
      </c>
      <c r="K34" s="13">
        <f>VLOOKUP($A$34,$A$23:$F$29,6,FALSE)*(10^$K$32) / ((10^$K$32)+(10^(VLOOKUP($A$34,$A$13:$B$19,2,FALSE))))</f>
        <v>5.2112459998551106</v>
      </c>
      <c r="L34" s="13">
        <f>VLOOKUP($A$34,$A$23:$F$29,6,FALSE)*(10^$L$32) / ((10^$L$32)+(10^(VLOOKUP($A$34,$A$13:$B$19,2,FALSE))))</f>
        <v>5.9105403516640287</v>
      </c>
      <c r="M34" s="13">
        <f>VLOOKUP($A$34,$A$23:$F$29,6,FALSE)*(10^$M$32) / ((10^$M$32)+(10^(VLOOKUP($A$34,$A$13:$B$19,2,FALSE))))</f>
        <v>5.9909323569425288</v>
      </c>
      <c r="N34" s="13">
        <f>VLOOKUP($A$34,$A$23:$F$29,6,FALSE)*(10^$N$32) / ((10^$N$32)+(10^(VLOOKUP($A$34,$A$13:$B$19,2,FALSE))))</f>
        <v>5.9990920006821966</v>
      </c>
      <c r="O34" s="13">
        <f>VLOOKUP($A$34,$A$23:$F$29,6,FALSE)*(10^$O$32) / ((10^$O$32)+(10^(VLOOKUP($A$34,$A$13:$B$19,2,FALSE))))</f>
        <v>5.9999091876995934</v>
      </c>
      <c r="P34" s="13">
        <f>VLOOKUP($A$34,$A$23:$F$29,6,FALSE)*(10^$P$32) / ((10^$P$32)+(10^(VLOOKUP($A$34,$A$13:$B$19,2,FALSE))))</f>
        <v>5.9999909186462546</v>
      </c>
    </row>
    <row r="35" spans="1:16" x14ac:dyDescent="0.3">
      <c r="A35" s="14" t="s">
        <v>7</v>
      </c>
      <c r="B35" s="15">
        <f>VLOOKUP($A$35,$A$23:$F$29,6,FALSE)*(10^(VLOOKUP($A$35,$A$13:$B$19,2,FALSE))) / ((10^$B$32)+(10^(VLOOKUP($A$35,$A$13:$B$19,2,FALSE))))</f>
        <v>0.99999999997048794</v>
      </c>
      <c r="C35" s="15">
        <f>VLOOKUP($A$35,$A$23:$F$29,6,FALSE)*(10^(VLOOKUP($A$35,$A$13:$B$19,2,FALSE))) / ((10^$C$32)+(10^(VLOOKUP($A$35,$A$13:$B$19,2,FALSE))))</f>
        <v>0.99999999970487907</v>
      </c>
      <c r="D35" s="15">
        <f>VLOOKUP($A$35,$A$23:$F$29,6,FALSE)*(10^(VLOOKUP($A$35,$A$13:$B$19,2,FALSE))) / ((10^$D$32)+(10^(VLOOKUP($A$35,$A$13:$B$19,2,FALSE))))</f>
        <v>0.99999999704879083</v>
      </c>
      <c r="E35" s="15">
        <f>VLOOKUP($A$35,$A$23:$F$29,6,FALSE)*(10^(VLOOKUP($A$35,$A$13:$B$19,2,FALSE))) / ((10^$E$32)+(10^(VLOOKUP($A$35,$A$13:$B$19,2,FALSE))))</f>
        <v>0.99999997048790856</v>
      </c>
      <c r="F35" s="15">
        <f>VLOOKUP($A$35,$A$23:$F$29,6,FALSE)*(10^(VLOOKUP($A$35,$A$13:$B$19,2,FALSE))) / ((10^$F$32)+(10^(VLOOKUP($A$35,$A$13:$B$19,2,FALSE))))</f>
        <v>0.99999970487916445</v>
      </c>
      <c r="G35" s="15">
        <f>VLOOKUP($A$35,$A$23:$F$29,6,FALSE)*(10^(VLOOKUP($A$35,$A$13:$B$19,2,FALSE))) / ((10^$G$32)+(10^(VLOOKUP($A$35,$A$13:$B$19,2,FALSE))))</f>
        <v>0.99999704879948292</v>
      </c>
      <c r="H35" s="15">
        <f>VLOOKUP($A$35,$A$23:$F$29,6,FALSE)*(10^(VLOOKUP($A$35,$A$13:$B$19,2,FALSE))) / ((10^$H$32)+(10^(VLOOKUP($A$35,$A$13:$B$19,2,FALSE))))</f>
        <v>0.99997048877867123</v>
      </c>
      <c r="I35" s="15">
        <f>VLOOKUP($A$35,$A$23:$F$29,6,FALSE)*(10^(VLOOKUP($A$35,$A$13:$B$19,2,FALSE))) / ((10^$I$32)+(10^(VLOOKUP($A$35,$A$13:$B$19,2,FALSE))))</f>
        <v>0.99970496614799598</v>
      </c>
      <c r="J35" s="15">
        <f>VLOOKUP($A$35,$A$23:$F$29,6,FALSE)*(10^(VLOOKUP($A$35,$A$13:$B$19,2,FALSE))) / ((10^$J$32)+(10^(VLOOKUP($A$35,$A$13:$B$19,2,FALSE))))</f>
        <v>0.99705747478090989</v>
      </c>
      <c r="K35" s="15">
        <f>VLOOKUP($A$35,$A$23:$F$29,6,FALSE)*(10^(VLOOKUP($A$35,$A$13:$B$19,2,FALSE))) / ((10^$K$32)+(10^(VLOOKUP($A$35,$A$13:$B$19,2,FALSE))))</f>
        <v>0.97133390419758225</v>
      </c>
      <c r="L35" s="15">
        <f>VLOOKUP($A$35,$A$23:$F$29,6,FALSE)*(10^(VLOOKUP($A$35,$A$13:$B$19,2,FALSE))) / ((10^$L$32)+(10^(VLOOKUP($A$35,$A$13:$B$19,2,FALSE))))</f>
        <v>0.77212867346858438</v>
      </c>
      <c r="M35" s="15">
        <f>VLOOKUP($A$35,$A$23:$F$29,6,FALSE)*(10^(VLOOKUP($A$35,$A$13:$B$19,2,FALSE))) / ((10^$M$32)+(10^(VLOOKUP($A$35,$A$13:$B$19,2,FALSE))))</f>
        <v>0.25308707857105722</v>
      </c>
      <c r="N35" s="15">
        <f>VLOOKUP($A$35,$A$23:$F$29,6,FALSE)*(10^(VLOOKUP($A$35,$A$13:$B$19,2,FALSE))) / ((10^$N$32)+(10^(VLOOKUP($A$35,$A$13:$B$19,2,FALSE))))</f>
        <v>3.2773891454587582E-2</v>
      </c>
      <c r="O35" s="15">
        <f>VLOOKUP($A$35,$A$23:$F$29,6,FALSE)*(10^(VLOOKUP($A$35,$A$13:$B$19,2,FALSE))) / ((10^$O$32)+(10^(VLOOKUP($A$35,$A$13:$B$19,2,FALSE))))</f>
        <v>3.3769987983110657E-3</v>
      </c>
      <c r="P35" s="15">
        <f>VLOOKUP($A$35,$A$23:$F$29,6,FALSE)*(10^(VLOOKUP($A$35,$A$13:$B$19,2,FALSE))) / ((10^$P$32)+(10^(VLOOKUP($A$35,$A$13:$B$19,2,FALSE))))</f>
        <v>3.3872937966839006E-4</v>
      </c>
    </row>
    <row r="36" spans="1:16" x14ac:dyDescent="0.3">
      <c r="A36" s="14" t="s">
        <v>8</v>
      </c>
      <c r="B36" s="15">
        <f>VLOOKUP($A$36,$A$23:$F$29,6,FALSE)*(10^(VLOOKUP($A$36,$A$13:$B$19,2,FALSE))) / ((10^$B$32)+(10^(VLOOKUP($A$36,$A$13:$B$19,2,FALSE))))</f>
        <v>1.9999980000019999</v>
      </c>
      <c r="C36" s="15">
        <f>VLOOKUP($A$36,$A$23:$F$29,6,FALSE)*(10^(VLOOKUP($A$36,$A$13:$B$19,2,FALSE))) / ((10^$C$32)+(10^(VLOOKUP($A$36,$A$13:$B$19,2,FALSE))))</f>
        <v>1.9999800001999981</v>
      </c>
      <c r="D36" s="15">
        <f>VLOOKUP($A$36,$A$23:$F$29,6,FALSE)*(10^(VLOOKUP($A$36,$A$13:$B$19,2,FALSE))) / ((10^$D$32)+(10^(VLOOKUP($A$36,$A$13:$B$19,2,FALSE))))</f>
        <v>1.9998000199980002</v>
      </c>
      <c r="E36" s="15">
        <f>VLOOKUP($A$36,$A$23:$F$29,6,FALSE)*(10^(VLOOKUP($A$36,$A$13:$B$19,2,FALSE))) / ((10^$E$32)+(10^(VLOOKUP($A$36,$A$13:$B$19,2,FALSE))))</f>
        <v>1.9980019980019981</v>
      </c>
      <c r="F36" s="15">
        <f>VLOOKUP($A$36,$A$23:$F$29,6,FALSE)*(10^(VLOOKUP($A$36,$A$13:$B$19,2,FALSE))) / ((10^$F$32)+(10^(VLOOKUP($A$36,$A$13:$B$19,2,FALSE))))</f>
        <v>1.9801980198019802</v>
      </c>
      <c r="G36" s="15">
        <f>VLOOKUP($A$36,$A$23:$F$29,6,FALSE)*(10^(VLOOKUP($A$36,$A$13:$B$19,2,FALSE))) / ((10^$G$32)+(10^(VLOOKUP($A$36,$A$13:$B$19,2,FALSE))))</f>
        <v>1.8181818181818181</v>
      </c>
      <c r="H36" s="15">
        <f>VLOOKUP($A$36,$A$23:$F$29,6,FALSE)*(10^(VLOOKUP($A$36,$A$13:$B$19,2,FALSE))) / ((10^$H$32)+(10^(VLOOKUP($A$36,$A$13:$B$19,2,FALSE))))</f>
        <v>1</v>
      </c>
      <c r="I36" s="15">
        <f>VLOOKUP($A$36,$A$23:$F$29,6,FALSE)*(10^(VLOOKUP($A$36,$A$13:$B$19,2,FALSE))) / ((10^$I$32)+(10^(VLOOKUP($A$36,$A$13:$B$19,2,FALSE))))</f>
        <v>0.18181818181818182</v>
      </c>
      <c r="J36" s="15">
        <f>VLOOKUP($A$36,$A$23:$F$29,6,FALSE)*(10^(VLOOKUP($A$36,$A$13:$B$19,2,FALSE))) / ((10^$J$32)+(10^(VLOOKUP($A$36,$A$13:$B$19,2,FALSE))))</f>
        <v>1.9801980198019802E-2</v>
      </c>
      <c r="K36" s="15">
        <f>VLOOKUP($A$36,$A$23:$F$29,6,FALSE)*(10^(VLOOKUP($A$36,$A$13:$B$19,2,FALSE))) / ((10^$K$32)+(10^(VLOOKUP($A$36,$A$13:$B$19,2,FALSE))))</f>
        <v>1.998001998001998E-3</v>
      </c>
      <c r="L36" s="15">
        <f>VLOOKUP($A$36,$A$23:$F$29,6,FALSE)*(10^(VLOOKUP($A$36,$A$13:$B$19,2,FALSE))) / ((10^$L$32)+(10^(VLOOKUP($A$36,$A$13:$B$19,2,FALSE))))</f>
        <v>1.9998000199980003E-4</v>
      </c>
      <c r="M36" s="15">
        <f>VLOOKUP($A$36,$A$23:$F$29,6,FALSE)*(10^(VLOOKUP($A$36,$A$13:$B$19,2,FALSE))) / ((10^$M$32)+(10^(VLOOKUP($A$36,$A$13:$B$19,2,FALSE))))</f>
        <v>1.9999800001999982E-5</v>
      </c>
      <c r="N36" s="15">
        <f>VLOOKUP($A$36,$A$23:$F$29,6,FALSE)*(10^(VLOOKUP($A$36,$A$13:$B$19,2,FALSE))) / ((10^$N$32)+(10^(VLOOKUP($A$36,$A$13:$B$19,2,FALSE))))</f>
        <v>1.9999980000020001E-6</v>
      </c>
      <c r="O36" s="15">
        <f>VLOOKUP($A$36,$A$23:$F$29,6,FALSE)*(10^(VLOOKUP($A$36,$A$13:$B$19,2,FALSE))) / ((10^$O$32)+(10^(VLOOKUP($A$36,$A$13:$B$19,2,FALSE))))</f>
        <v>1.9999998000000201E-7</v>
      </c>
      <c r="P36" s="15">
        <f>VLOOKUP($A$36,$A$23:$F$29,6,FALSE)*(10^(VLOOKUP($A$36,$A$13:$B$19,2,FALSE))) / ((10^$P$32)+(10^(VLOOKUP($A$36,$A$13:$B$19,2,FALSE))))</f>
        <v>1.99999998E-8</v>
      </c>
    </row>
    <row r="37" spans="1:16" x14ac:dyDescent="0.3">
      <c r="A37" s="14" t="s">
        <v>9</v>
      </c>
      <c r="B37" s="15">
        <f>VLOOKUP($A$37,$A$23:$F$29,6,FALSE)*(10^(VLOOKUP($A$37,$A$13:$B$19,2,FALSE))) / ((10^$B$32)+(10^(VLOOKUP($A$37,$A$13:$B$19,2,FALSE))))</f>
        <v>0.99999999999966882</v>
      </c>
      <c r="C37" s="15">
        <f>VLOOKUP($A$37,$A$23:$F$29,6,FALSE)*(10^(VLOOKUP($A$37,$A$13:$B$19,2,FALSE))) / ((10^$C$32)+(10^(VLOOKUP($A$37,$A$13:$B$19,2,FALSE))))</f>
        <v>0.99999999999668865</v>
      </c>
      <c r="D37" s="15">
        <f>VLOOKUP($A$37,$A$23:$F$29,6,FALSE)*(10^(VLOOKUP($A$37,$A$13:$B$19,2,FALSE))) / ((10^$D$32)+(10^(VLOOKUP($A$37,$A$13:$B$19,2,FALSE))))</f>
        <v>0.99999999996688693</v>
      </c>
      <c r="E37" s="15">
        <f>VLOOKUP($A$37,$A$23:$F$29,6,FALSE)*(10^(VLOOKUP($A$37,$A$13:$B$19,2,FALSE))) / ((10^$E$32)+(10^(VLOOKUP($A$37,$A$13:$B$19,2,FALSE))))</f>
        <v>0.99999999966886888</v>
      </c>
      <c r="F37" s="15">
        <f>VLOOKUP($A$37,$A$23:$F$29,6,FALSE)*(10^(VLOOKUP($A$37,$A$13:$B$19,2,FALSE))) / ((10^$F$32)+(10^(VLOOKUP($A$37,$A$13:$B$19,2,FALSE))))</f>
        <v>0.99999999668868877</v>
      </c>
      <c r="G37" s="15">
        <f>VLOOKUP($A$37,$A$23:$F$29,6,FALSE)*(10^(VLOOKUP($A$37,$A$13:$B$19,2,FALSE))) / ((10^$G$32)+(10^(VLOOKUP($A$37,$A$13:$B$19,2,FALSE))))</f>
        <v>0.99999996688688897</v>
      </c>
      <c r="H37" s="15">
        <f>VLOOKUP($A$37,$A$23:$F$29,6,FALSE)*(10^(VLOOKUP($A$37,$A$13:$B$19,2,FALSE))) / ((10^$H$32)+(10^(VLOOKUP($A$37,$A$13:$B$19,2,FALSE))))</f>
        <v>0.99999966886898817</v>
      </c>
      <c r="I37" s="15">
        <f>VLOOKUP($A$37,$A$23:$F$29,6,FALSE)*(10^(VLOOKUP($A$37,$A$13:$B$19,2,FALSE))) / ((10^$I$32)+(10^(VLOOKUP($A$37,$A$13:$B$19,2,FALSE))))</f>
        <v>0.99999668869974989</v>
      </c>
      <c r="J37" s="15">
        <f>VLOOKUP($A$37,$A$23:$F$29,6,FALSE)*(10^(VLOOKUP($A$37,$A$13:$B$19,2,FALSE))) / ((10^$J$32)+(10^(VLOOKUP($A$37,$A$13:$B$19,2,FALSE))))</f>
        <v>0.99996688798429367</v>
      </c>
      <c r="K37" s="15">
        <f>VLOOKUP($A$37,$A$23:$F$29,6,FALSE)*(10^(VLOOKUP($A$37,$A$13:$B$19,2,FALSE))) / ((10^$K$32)+(10^(VLOOKUP($A$37,$A$13:$B$19,2,FALSE))))</f>
        <v>0.99966897849004122</v>
      </c>
      <c r="L37" s="15">
        <f>VLOOKUP($A$37,$A$23:$F$29,6,FALSE)*(10^(VLOOKUP($A$37,$A$13:$B$19,2,FALSE))) / ((10^$L$32)+(10^(VLOOKUP($A$37,$A$13:$B$19,2,FALSE))))</f>
        <v>0.99669961737915969</v>
      </c>
      <c r="M37" s="15">
        <f>VLOOKUP($A$37,$A$23:$F$29,6,FALSE)*(10^(VLOOKUP($A$37,$A$13:$B$19,2,FALSE))) / ((10^$M$32)+(10^(VLOOKUP($A$37,$A$13:$B$19,2,FALSE))))</f>
        <v>0.96794822197212904</v>
      </c>
      <c r="N37" s="15">
        <f>VLOOKUP($A$37,$A$23:$F$29,6,FALSE)*(10^(VLOOKUP($A$37,$A$13:$B$19,2,FALSE))) / ((10^$N$32)+(10^(VLOOKUP($A$37,$A$13:$B$19,2,FALSE))))</f>
        <v>0.75124079353371165</v>
      </c>
      <c r="O37" s="15">
        <f>VLOOKUP($A$37,$A$23:$F$29,6,FALSE)*(10^(VLOOKUP($A$37,$A$13:$B$19,2,FALSE))) / ((10^$O$32)+(10^(VLOOKUP($A$37,$A$13:$B$19,2,FALSE))))</f>
        <v>0.23194799683241693</v>
      </c>
      <c r="P37" s="15">
        <f>VLOOKUP($A$37,$A$23:$F$29,6,FALSE)*(10^(VLOOKUP($A$37,$A$13:$B$19,2,FALSE))) / ((10^$P$32)+(10^(VLOOKUP($A$37,$A$13:$B$19,2,FALSE))))</f>
        <v>2.9314241270450545E-2</v>
      </c>
    </row>
    <row r="38" spans="1:16" x14ac:dyDescent="0.3">
      <c r="A38" s="12" t="s">
        <v>10</v>
      </c>
      <c r="B38" s="13">
        <f>VLOOKUP($A$38,$A$23:$F$29,6,FALSE)*(10^$B$32) / ((10^$B$32)+(10^(VLOOKUP($A$38,$A$13:$B$19,2,FALSE))))</f>
        <v>0</v>
      </c>
      <c r="C38" s="13">
        <f>VLOOKUP($A$38,$A$23:$F$29,6,FALSE)*(10^$C$32) / ((10^$C$32)+(10^(VLOOKUP($A$38,$A$13:$B$19,2,FALSE))))</f>
        <v>0</v>
      </c>
      <c r="D38" s="13">
        <f>VLOOKUP($A$38,$A$23:$F$29,6,FALSE)*(10^$D$32) / ((10^$D$32)+(10^(VLOOKUP($A$38,$A$13:$B$19,2,FALSE))))</f>
        <v>0</v>
      </c>
      <c r="E38" s="13">
        <f>VLOOKUP($A$38,$A$23:$F$29,6,FALSE)*(10^$E$32) / ((10^$E$32)+(10^(VLOOKUP($A$38,$A$13:$B$19,2,FALSE))))</f>
        <v>0</v>
      </c>
      <c r="F38" s="13">
        <f>VLOOKUP($A$38,$A$23:$F$29,6,FALSE)*(10^$F$32) / ((10^$F$32)+(10^(VLOOKUP($A$38,$A$13:$B$19,2,FALSE))))</f>
        <v>0</v>
      </c>
      <c r="G38" s="13">
        <f>VLOOKUP($A$38,$A$23:$F$29,6,FALSE)*(10^$G$32) / ((10^$G$32)+(10^(VLOOKUP($A$38,$A$13:$B$19,2,FALSE))))</f>
        <v>0</v>
      </c>
      <c r="H38" s="13">
        <f>VLOOKUP($A$38,$A$23:$F$29,6,FALSE)*(10^$H$32) / ((10^$H$32)+(10^(VLOOKUP($A$38,$A$13:$B$19,2,FALSE))))</f>
        <v>0</v>
      </c>
      <c r="I38" s="13">
        <f>VLOOKUP($A$38,$A$23:$F$29,6,FALSE)*(10^$I$32) / ((10^$I$32)+(10^(VLOOKUP($A$38,$A$13:$B$19,2,FALSE))))</f>
        <v>0</v>
      </c>
      <c r="J38" s="13">
        <f>VLOOKUP($A$38,$A$23:$F$29,6,FALSE)*(10^$J$32) / ((10^$J$32)+(10^(VLOOKUP($A$38,$A$13:$B$19,2,FALSE))))</f>
        <v>0</v>
      </c>
      <c r="K38" s="13">
        <f>VLOOKUP($A$38,$A$23:$F$29,6,FALSE)*(10^$K$32) / ((10^$K$32)+(10^(VLOOKUP($A$38,$A$13:$B$19,2,FALSE))))</f>
        <v>0</v>
      </c>
      <c r="L38" s="13">
        <f>VLOOKUP($A$38,$A$23:$F$29,6,FALSE)*(10^$L$32) / ((10^$L$32)+(10^(VLOOKUP($A$38,$A$13:$B$19,2,FALSE))))</f>
        <v>0</v>
      </c>
      <c r="M38" s="13">
        <f>VLOOKUP($A$38,$A$23:$F$29,6,FALSE)*(10^$M$32) / ((10^$M$32)+(10^(VLOOKUP($A$38,$A$13:$B$19,2,FALSE))))</f>
        <v>0</v>
      </c>
      <c r="N38" s="13">
        <f>VLOOKUP($A$38,$A$23:$F$29,6,FALSE)*(10^$N$32) / ((10^$N$32)+(10^(VLOOKUP($A$38,$A$13:$B$19,2,FALSE))))</f>
        <v>0</v>
      </c>
      <c r="O38" s="13">
        <f>VLOOKUP($A$38,$A$23:$F$29,6,FALSE)*(10^$O$32) / ((10^$O$32)+(10^(VLOOKUP($A$38,$A$13:$B$19,2,FALSE))))</f>
        <v>0</v>
      </c>
      <c r="P38" s="13">
        <f>VLOOKUP($A$38,$A$23:$F$29,6,FALSE)*(10^$P$32) / ((10^$P$32)+(10^(VLOOKUP($A$38,$A$13:$B$19,2,FALSE))))</f>
        <v>0</v>
      </c>
    </row>
    <row r="39" spans="1:16" x14ac:dyDescent="0.3">
      <c r="A39" s="12" t="s">
        <v>11</v>
      </c>
      <c r="B39" s="13">
        <f>VLOOKUP($A$39,$A$23:$F$29,6,FALSE)*(10^$B$32) / ((10^$B$32)+(10^(VLOOKUP($A$39,$A$13:$B$19,2,FALSE))))</f>
        <v>2.2492388167677066E-4</v>
      </c>
      <c r="C39" s="13">
        <f>VLOOKUP($A$39,$A$23:$F$29,6,FALSE)*(10^$C$32) / ((10^$C$32)+(10^(VLOOKUP($A$39,$A$13:$B$19,2,FALSE))))</f>
        <v>2.2481011006093171E-3</v>
      </c>
      <c r="D39" s="13">
        <f>VLOOKUP($A$39,$A$23:$F$29,6,FALSE)*(10^$D$32) / ((10^$D$32)+(10^(VLOOKUP($A$39,$A$13:$B$19,2,FALSE))))</f>
        <v>2.2367869235339104E-2</v>
      </c>
      <c r="E39" s="13">
        <f>VLOOKUP($A$39,$A$23:$F$29,6,FALSE)*(10^$E$32) / ((10^$E$32)+(10^(VLOOKUP($A$39,$A$13:$B$19,2,FALSE))))</f>
        <v>0.21296086080808971</v>
      </c>
      <c r="F39" s="13">
        <f>VLOOKUP($A$39,$A$23:$F$29,6,FALSE)*(10^$F$32) / ((10^$F$32)+(10^(VLOOKUP($A$39,$A$13:$B$19,2,FALSE))))</f>
        <v>1.4397400007884593</v>
      </c>
      <c r="G39" s="13">
        <f>VLOOKUP($A$39,$A$23:$F$29,6,FALSE)*(10^$G$32) / ((10^$G$32)+(10^(VLOOKUP($A$39,$A$13:$B$19,2,FALSE))))</f>
        <v>3.3960817711547064</v>
      </c>
      <c r="H39" s="13">
        <f>VLOOKUP($A$39,$A$23:$F$29,6,FALSE)*(10^$H$32) / ((10^$H$32)+(10^(VLOOKUP($A$39,$A$13:$B$19,2,FALSE))))</f>
        <v>3.9301116340206663</v>
      </c>
      <c r="I39" s="13">
        <f>VLOOKUP($A$39,$A$23:$F$29,6,FALSE)*(10^$I$32) / ((10^$I$32)+(10^(VLOOKUP($A$39,$A$13:$B$19,2,FALSE))))</f>
        <v>3.9928995090167612</v>
      </c>
      <c r="J39" s="13">
        <f>VLOOKUP($A$39,$A$23:$F$29,6,FALSE)*(10^$J$32) / ((10^$J$32)+(10^(VLOOKUP($A$39,$A$13:$B$19,2,FALSE))))</f>
        <v>3.9992888147046011</v>
      </c>
      <c r="K39" s="13">
        <f>VLOOKUP($A$39,$A$23:$F$29,6,FALSE)*(10^$K$32) / ((10^$K$32)+(10^(VLOOKUP($A$39,$A$13:$B$19,2,FALSE))))</f>
        <v>3.9999288700884867</v>
      </c>
      <c r="L39" s="13">
        <f>VLOOKUP($A$39,$A$23:$F$29,6,FALSE)*(10^$L$32) / ((10^$L$32)+(10^(VLOOKUP($A$39,$A$13:$B$19,2,FALSE))))</f>
        <v>3.9999928868950092</v>
      </c>
      <c r="M39" s="13">
        <f>VLOOKUP($A$39,$A$23:$F$29,6,FALSE)*(10^$M$32) / ((10^$M$32)+(10^(VLOOKUP($A$39,$A$13:$B$19,2,FALSE))))</f>
        <v>3.9999992886883624</v>
      </c>
      <c r="N39" s="13">
        <f>VLOOKUP($A$39,$A$23:$F$29,6,FALSE)*(10^$N$32) / ((10^$N$32)+(10^(VLOOKUP($A$39,$A$13:$B$19,2,FALSE))))</f>
        <v>3.9999999288688248</v>
      </c>
      <c r="O39" s="13">
        <f>VLOOKUP($A$39,$A$23:$F$29,6,FALSE)*(10^$O$32) / ((10^$O$32)+(10^(VLOOKUP($A$39,$A$13:$B$19,2,FALSE))))</f>
        <v>3.9999999928868819</v>
      </c>
      <c r="P39" s="13">
        <f>VLOOKUP($A$39,$A$23:$F$29,6,FALSE)*(10^$P$32) / ((10^$P$32)+(10^(VLOOKUP($A$39,$A$13:$B$19,2,FALSE))))</f>
        <v>3.9999999992886881</v>
      </c>
    </row>
    <row r="40" spans="1:16" x14ac:dyDescent="0.3">
      <c r="A40" s="8" t="s">
        <v>14</v>
      </c>
      <c r="B40" s="16">
        <f>(B35+B36+B37)-(B33+B34+B38+B39)</f>
        <v>3.9997730361084178</v>
      </c>
      <c r="C40" s="16">
        <f t="shared" ref="C40:P40" si="5">(C35+C36+C37)-(C33+C34+C38+C39)</f>
        <v>3.9977314989803618</v>
      </c>
      <c r="D40" s="16">
        <f t="shared" si="5"/>
        <v>3.9774281495747488</v>
      </c>
      <c r="E40" s="16">
        <f t="shared" si="5"/>
        <v>3.7850011255505267</v>
      </c>
      <c r="F40" s="16">
        <f t="shared" si="5"/>
        <v>2.5400579261525342</v>
      </c>
      <c r="G40" s="16">
        <f t="shared" si="5"/>
        <v>0.41810147415939891</v>
      </c>
      <c r="H40" s="16">
        <f t="shared" si="5"/>
        <v>-0.96986331905560474</v>
      </c>
      <c r="I40" s="16">
        <f t="shared" si="5"/>
        <v>-2.1866296247762329</v>
      </c>
      <c r="J40" s="16">
        <f t="shared" si="5"/>
        <v>-4.4032721054020163</v>
      </c>
      <c r="K40" s="16">
        <f t="shared" si="5"/>
        <v>-7.551924685030059</v>
      </c>
      <c r="L40" s="16">
        <f t="shared" si="5"/>
        <v>-9.9806720544143097</v>
      </c>
      <c r="M40" s="16">
        <f t="shared" si="5"/>
        <v>-12.349327503864023</v>
      </c>
      <c r="N40" s="16">
        <f t="shared" si="5"/>
        <v>-13.16862508416593</v>
      </c>
      <c r="O40" s="16">
        <f t="shared" si="5"/>
        <v>-13.75988990979344</v>
      </c>
      <c r="P40" s="16">
        <f t="shared" si="5"/>
        <v>-13.969868023471733</v>
      </c>
    </row>
    <row r="41" spans="1:16" x14ac:dyDescent="0.3">
      <c r="A41" s="2"/>
      <c r="B41" s="5"/>
      <c r="C41" s="4"/>
      <c r="D41" s="4"/>
      <c r="E41" s="4"/>
      <c r="F41" s="4"/>
    </row>
    <row r="42" spans="1:16" x14ac:dyDescent="0.3">
      <c r="A42" s="2" t="s">
        <v>15</v>
      </c>
      <c r="B42" s="17" t="s">
        <v>16</v>
      </c>
      <c r="C42" s="4"/>
      <c r="D42" s="4"/>
      <c r="E42" s="4"/>
      <c r="F42" s="4"/>
    </row>
    <row r="43" spans="1:16" x14ac:dyDescent="0.3">
      <c r="A43" s="2"/>
      <c r="B43" s="6"/>
    </row>
    <row r="44" spans="1:16" x14ac:dyDescent="0.3">
      <c r="A44" s="2"/>
      <c r="B44" s="6"/>
    </row>
    <row r="45" spans="1:16" x14ac:dyDescent="0.3">
      <c r="A45" s="2"/>
      <c r="B45" s="6"/>
    </row>
    <row r="46" spans="1:16" x14ac:dyDescent="0.3">
      <c r="A46" s="2"/>
      <c r="B46" s="6"/>
    </row>
    <row r="47" spans="1:16" x14ac:dyDescent="0.3">
      <c r="A47" s="2"/>
      <c r="B47" s="6"/>
    </row>
    <row r="48" spans="1:16" x14ac:dyDescent="0.3">
      <c r="A48" s="2"/>
      <c r="B48" s="6"/>
    </row>
    <row r="49" spans="1:2" x14ac:dyDescent="0.3">
      <c r="A49" s="2"/>
      <c r="B49" s="6"/>
    </row>
    <row r="50" spans="1:2" x14ac:dyDescent="0.3">
      <c r="A50" s="2"/>
      <c r="B50" s="6"/>
    </row>
    <row r="51" spans="1:2" x14ac:dyDescent="0.3">
      <c r="A51" s="2"/>
      <c r="B51" s="6"/>
    </row>
    <row r="52" spans="1:2" x14ac:dyDescent="0.3">
      <c r="A52" s="2"/>
      <c r="B52" s="6"/>
    </row>
    <row r="53" spans="1:2" x14ac:dyDescent="0.3">
      <c r="A53" s="2"/>
      <c r="B53" s="6"/>
    </row>
    <row r="54" spans="1:2" x14ac:dyDescent="0.3">
      <c r="A54" s="2"/>
      <c r="B54" s="6"/>
    </row>
    <row r="55" spans="1:2" x14ac:dyDescent="0.3">
      <c r="A55" s="2"/>
      <c r="B55" s="6"/>
    </row>
    <row r="56" spans="1:2" x14ac:dyDescent="0.3">
      <c r="A56" s="2"/>
      <c r="B56" s="6"/>
    </row>
  </sheetData>
  <mergeCells count="6">
    <mergeCell ref="B4:F4"/>
    <mergeCell ref="B5:F5"/>
    <mergeCell ref="B9:F9"/>
    <mergeCell ref="B7:F7"/>
    <mergeCell ref="B8:F8"/>
    <mergeCell ref="B6:F6"/>
  </mergeCells>
  <pageMargins left="0.7" right="0.7" top="0.75" bottom="0.75" header="0.3" footer="0.3"/>
  <ignoredErrors>
    <ignoredError sqref="G5" twoDigitTextYea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IDJAK141_ Christopher Chandra</dc:creator>
  <cp:lastModifiedBy>IDJAK141_ Christopher Chandra</cp:lastModifiedBy>
  <dcterms:created xsi:type="dcterms:W3CDTF">2025-11-03T10:59:07Z</dcterms:created>
  <dcterms:modified xsi:type="dcterms:W3CDTF">2025-11-04T10:33:42Z</dcterms:modified>
</cp:coreProperties>
</file>